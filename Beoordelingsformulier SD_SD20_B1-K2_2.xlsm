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00000000-0000-0000-0000-000000000000}"/>
  <workbookPr codeName="ThisWorkbook"/>
  <mc:AlternateContent xmlns:mc="http://schemas.openxmlformats.org/markup-compatibility/2006">
    <mc:Choice Requires="x15">
      <x15ac:absPath xmlns:x15ac="http://schemas.microsoft.com/office/spreadsheetml/2010/11/ac" url="https://educurio.sharepoint.com/teams/TMO_322040/Gedeelde documenten/Examinering/PvB/2022-2023 SD/A. SPL examenprojecten SD/Examenopdracht Autorijschool SD_SD20_B1-K1-K2_2v3/Bijlagen examinator/Beoordeling en evaluatie/"/>
    </mc:Choice>
  </mc:AlternateContent>
  <xr:revisionPtr revIDLastSave="873" documentId="8_{39BBE99C-DA5B-43C3-B860-BBC3E2D3A0EF}" xr6:coauthVersionLast="47" xr6:coauthVersionMax="47" xr10:uidLastSave="{E86AE765-1203-4DEE-9642-C7E19B3A53A8}"/>
  <bookViews>
    <workbookView xWindow="-120" yWindow="-16320" windowWidth="29040" windowHeight="1584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8" i="101"/>
  <c r="B7" i="101"/>
  <c r="B6" i="101"/>
  <c r="C5" i="101"/>
  <c r="B5" i="101"/>
  <c r="D4" i="104" l="1"/>
  <c r="N24" i="104"/>
  <c r="B4" i="104" s="1"/>
  <c r="B8" i="104" s="1"/>
  <c r="B5" i="103"/>
  <c r="D40" i="103" s="1"/>
  <c r="N24" i="103"/>
  <c r="N24" i="102"/>
  <c r="B7" i="102" s="1"/>
  <c r="B6" i="104"/>
  <c r="B7" i="104"/>
  <c r="B7" i="103"/>
  <c r="B6" i="103"/>
  <c r="B4" i="103"/>
  <c r="B8" i="103" s="1"/>
  <c r="C40" i="103" s="1"/>
  <c r="B5" i="102"/>
  <c r="D32" i="102" s="1"/>
  <c r="B5" i="104"/>
  <c r="D4" i="103"/>
  <c r="D4" i="102"/>
  <c r="D38" i="103" l="1"/>
  <c r="D35" i="103"/>
  <c r="D32" i="103"/>
  <c r="D31" i="103"/>
  <c r="B41" i="103" s="1"/>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1" i="104"/>
  <c r="D39" i="104"/>
  <c r="D36" i="104"/>
  <c r="D33" i="104"/>
  <c r="D38" i="104"/>
  <c r="D35" i="104"/>
  <c r="D32" i="104"/>
  <c r="B41" i="104" l="1"/>
  <c r="B26" i="101" s="1"/>
  <c r="B25" i="101"/>
  <c r="B45" i="102"/>
  <c r="B24" i="101" s="1"/>
  <c r="C35" i="102"/>
  <c r="C44" i="102"/>
  <c r="C33" i="102"/>
  <c r="C36" i="102"/>
  <c r="C41" i="102"/>
  <c r="C43" i="102"/>
  <c r="C32" i="102"/>
  <c r="C40" i="102"/>
  <c r="C34" i="102"/>
  <c r="C42" i="102"/>
  <c r="C38" i="102"/>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<sst xmlns="http://schemas.openxmlformats.org/spreadsheetml/2006/main" count="326" uniqueCount="149">
  <si>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</si>
  <si>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</si>
  <si>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</si>
  <si>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</si>
  <si>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</si>
  <si>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</si>
  <si>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</si>
  <si>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</si>
  <si>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</si>
  <si>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</si>
  <si>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</si>
  <si>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</si>
  <si>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</si>
  <si>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</si>
  <si>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</si>
  <si>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</si>
  <si>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</si>
  <si>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</si>
  <si>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</si>
  <si>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</si>
  <si>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</si>
  <si>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</si>
  <si>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</si>
  <si>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</si>
  <si>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</si>
  <si>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</si>
  <si>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</si>
  <si>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</si>
  <si>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</si>
  <si>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</si>
  <si>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</si>
  <si>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</si>
  <si>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</si>
  <si>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</si>
  <si>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</si>
  <si>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</si>
  <si>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</si>
  <si>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</si>
  <si>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</si>
  <si>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</si>
  <si>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</si>
  <si>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</si>
  <si>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</si>
  <si>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</si>
  <si>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</si>
  <si>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</si>
  <si>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</si>
  <si>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</si>
  <si>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</si>
  <si>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</si>
  <si>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</si>
  <si>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</si>
  <si>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</si>
  <si>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</si>
  <si>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</si>
  <si>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</si>
  <si>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</si>
  <si>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</si>
  <si>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</si>
  <si>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</si>
  <si>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</si>
  <si>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</si>
  <si>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</si>
  <si>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</si>
  <si>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</si>
  <si>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</si>
  <si>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</si>
  <si>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</si>
  <si>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</si>
  <si>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</si>
  <si>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</si>
  <si>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</si>
  <si>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</si>
  <si>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</si>
  <si>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</si>
  <si>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</si>
  <si>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</si>
  <si>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</si>
  <si>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</si>
  <si>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</si>
  <si>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</si>
  <si>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</si>
  <si>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</si>
  <si>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</si>
  <si>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</si>
  <si>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</si>
  <si>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</si>
  <si>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</si>
  <si>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</si>
  <si>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</si>
  <si>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</si>
  <si>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</si>
  <si>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</si>
  <si>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</si>
  <si>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</si>
  <si>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</si>
  <si>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</si>
  <si>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</si>
  <si>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</si>
  <si>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</si>
  <si>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</si>
  <si>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</si>
  <si>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</si>
  <si>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</si>
  <si>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</si>
  <si>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</si>
  <si>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</si>
  <si>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Resultaat</t>
  </si>
  <si>
    <t>[Laat de rode cellen leeg. Excel vult het resultaat automatisch in na beoordeling van de werkprocessen.]</t>
  </si>
  <si>
    <t>Handtekening beoordelaar 1</t>
  </si>
  <si>
    <t>Handtekening beoordelaar 2</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</si>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</sst>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0" fillId="11" borderId="0" xfId="0"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7">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1093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109375" customWidth="1"/>
    <col min="2" max="3" width="33.554687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20</v>
      </c>
      <c r="B7" s="90" t="str">
        <f>KerntakenEnWerkprocessen!B7</f>
        <v>[Examennaam]</v>
      </c>
      <c r="C7" s="91"/>
    </row>
    <row r="8" spans="1:6" s="16" customFormat="1" ht="23.25" customHeight="1" x14ac:dyDescent="0.3">
      <c r="A8" s="53" t="s">
        <v>21</v>
      </c>
      <c r="B8" s="90" t="str">
        <f>KerntakenEnWerkprocessen!C7</f>
        <v>[Examencode]</v>
      </c>
      <c r="C8" s="91"/>
    </row>
    <row r="9" spans="1:6" s="16" customFormat="1" ht="23.25" customHeight="1" x14ac:dyDescent="0.3">
      <c r="A9" s="53" t="s">
        <v>22</v>
      </c>
      <c r="B9" s="90" t="str">
        <f>KerntakenEnWerkprocessen!B9</f>
        <v>P1: Software developer, 4</v>
      </c>
      <c r="C9" s="91"/>
    </row>
    <row r="10" spans="1:6" s="16" customFormat="1" ht="23.25" customHeight="1" x14ac:dyDescent="0.3">
      <c r="A10" s="53" t="s">
        <v>23</v>
      </c>
      <c r="B10" s="90" t="str">
        <f>KerntakenEnWerkprocessen!B8</f>
        <v>Software development</v>
      </c>
      <c r="C10" s="91"/>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88" t="str">
        <f>KerntakenEnWerkprocessen!C5</f>
        <v>Werkt in een ontwikkelteam</v>
      </c>
      <c r="C12" s="88"/>
    </row>
    <row r="13" spans="1:6" s="16" customFormat="1" ht="2.1" customHeight="1" x14ac:dyDescent="0.3">
      <c r="A13" s="55"/>
      <c r="B13" s="28"/>
      <c r="C13" s="29"/>
    </row>
    <row r="14" spans="1:6" ht="222.75" customHeight="1" x14ac:dyDescent="0.3">
      <c r="A14" s="56" t="s">
        <v>26</v>
      </c>
      <c r="B14" s="87" t="str">
        <f>KerntakenEnWerkprocessen!F2</f>
        <v xml:space="preserve">B1-K2-W1 Voert overleg
B1-K2-W2 Presenteert het opgeleverde werk
B1-K2-W3 Reflecteert op het werk
</v>
      </c>
      <c r="C14" s="87"/>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2" t="str">
        <f>CONCATENATE(kerntaakCode,": ",kerntaakNaam)</f>
        <v>B1-K2: Werkt in een ontwikkelteam</v>
      </c>
      <c r="C10" s="92"/>
      <c r="D10" s="92"/>
      <c r="E10" s="92"/>
      <c r="F10" s="92"/>
      <c r="G10" s="92"/>
    </row>
    <row r="11" spans="1:7" ht="28.5" customHeight="1" x14ac:dyDescent="0.5">
      <c r="B11" s="93" t="e">
        <f>CONCATENATE(VLOOKUP(B1,werkprocessen,1,FALSE),": ",C1)</f>
        <v>#N/A</v>
      </c>
      <c r="C11" s="93"/>
      <c r="D11" s="93"/>
      <c r="E11" s="93"/>
      <c r="F11" s="93"/>
      <c r="G11" s="93"/>
    </row>
    <row r="13" spans="1:7" ht="24" customHeight="1" x14ac:dyDescent="0.3">
      <c r="B13" s="84" t="s">
        <v>36</v>
      </c>
      <c r="C13" s="85"/>
      <c r="D13" s="85"/>
      <c r="E13" s="85"/>
      <c r="F13" s="85"/>
      <c r="G13" s="86"/>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4" t="s">
        <v>46</v>
      </c>
      <c r="C4" s="94"/>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6"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3"/>
  <sheetViews>
    <sheetView tabSelected="1" workbookViewId="0">
      <selection activeCell="B13" sqref="B13:C13"/>
    </sheetView>
  </sheetViews>
  <sheetFormatPr defaultRowHeight="14.4" x14ac:dyDescent="0.3"/>
  <cols>
    <col min="1" max="1" width="33.109375" customWidth="1"/>
    <col min="2" max="3" width="33.5546875" customWidth="1"/>
    <col min="4" max="4" width="28.33203125" customWidth="1"/>
  </cols>
  <sheetData>
    <row r="1" spans="1:6" ht="31.2" x14ac:dyDescent="0.6">
      <c r="A1" s="89" t="s">
        <v>16</v>
      </c>
      <c r="B1" s="89"/>
      <c r="C1" s="89"/>
    </row>
    <row r="3" spans="1:6" ht="24" customHeight="1" x14ac:dyDescent="0.3">
      <c r="A3" s="84" t="s">
        <v>17</v>
      </c>
      <c r="B3" s="85"/>
      <c r="C3" s="86"/>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0" t="str">
        <f>KerntakenEnWerkprocessen!C6</f>
        <v>Praktijkexamen</v>
      </c>
      <c r="C6" s="91"/>
    </row>
    <row r="7" spans="1:6" s="16" customFormat="1" ht="23.25" customHeight="1" x14ac:dyDescent="0.3">
      <c r="A7" s="53" t="s">
        <v>21</v>
      </c>
      <c r="B7" s="90" t="str">
        <f>KerntakenEnWerkprocessen!C7</f>
        <v>[Examencode]</v>
      </c>
      <c r="C7" s="91"/>
    </row>
    <row r="8" spans="1:6" s="16" customFormat="1" ht="23.25" customHeight="1" x14ac:dyDescent="0.3">
      <c r="A8" s="53" t="s">
        <v>22</v>
      </c>
      <c r="B8" s="90" t="str">
        <f>KerntakenEnWerkprocessen!B9</f>
        <v>P1: Software developer, 4</v>
      </c>
      <c r="C8" s="91"/>
    </row>
    <row r="9" spans="1:6" s="16" customFormat="1" ht="23.25" customHeight="1" x14ac:dyDescent="0.3">
      <c r="A9" s="53" t="s">
        <v>23</v>
      </c>
      <c r="B9" s="90" t="str">
        <f>KerntakenEnWerkprocessen!B8</f>
        <v>Software development</v>
      </c>
      <c r="C9" s="91"/>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88" t="str">
        <f>KerntakenEnWerkprocessen!C5</f>
        <v>Werkt in een ontwikkelteam</v>
      </c>
      <c r="C11" s="88"/>
    </row>
    <row r="12" spans="1:6" s="16" customFormat="1" ht="2.1" customHeight="1" x14ac:dyDescent="0.3">
      <c r="A12" s="55"/>
      <c r="B12" s="28"/>
      <c r="C12" s="29"/>
    </row>
    <row r="13" spans="1:6" ht="222.75" customHeight="1" x14ac:dyDescent="0.3">
      <c r="A13" s="56" t="s">
        <v>26</v>
      </c>
      <c r="B13" s="87" t="str">
        <f>KerntakenEnWerkprocessen!F2</f>
        <v xml:space="preserve">B1-K2-W1 Voert overleg
B1-K2-W2 Presenteert het opgeleverde werk
B1-K2-W3 Reflecteert op het werk
</v>
      </c>
      <c r="C13" s="87"/>
      <c r="F13" s="26"/>
    </row>
    <row r="15" spans="1:6" x14ac:dyDescent="0.3">
      <c r="A15" s="97" t="s">
        <v>36</v>
      </c>
      <c r="B15" s="98"/>
      <c r="C15" s="99"/>
    </row>
    <row r="16" spans="1:6" ht="14.25" customHeight="1" x14ac:dyDescent="0.3">
      <c r="A16" s="71" t="s">
        <v>37</v>
      </c>
      <c r="B16" s="100"/>
      <c r="C16" s="101"/>
      <c r="D16" s="72" t="s">
        <v>106</v>
      </c>
    </row>
    <row r="17" spans="1:3" x14ac:dyDescent="0.3">
      <c r="A17" s="71" t="s">
        <v>38</v>
      </c>
      <c r="B17" s="95"/>
      <c r="C17" s="96"/>
    </row>
    <row r="18" spans="1:3" x14ac:dyDescent="0.3">
      <c r="A18" s="71" t="s">
        <v>39</v>
      </c>
      <c r="B18" s="102"/>
      <c r="C18" s="103"/>
    </row>
    <row r="19" spans="1:3" x14ac:dyDescent="0.3">
      <c r="A19" s="71" t="s">
        <v>40</v>
      </c>
      <c r="B19" s="95"/>
      <c r="C19" s="96"/>
    </row>
    <row r="20" spans="1:3" x14ac:dyDescent="0.3">
      <c r="A20" s="71" t="s">
        <v>41</v>
      </c>
      <c r="B20" s="95"/>
      <c r="C20" s="96"/>
    </row>
    <row r="21" spans="1:3" x14ac:dyDescent="0.3">
      <c r="A21" s="71" t="s">
        <v>42</v>
      </c>
      <c r="B21" s="95"/>
      <c r="C21" s="96"/>
    </row>
    <row r="22" spans="1:3" ht="15" thickBot="1" x14ac:dyDescent="0.35"/>
    <row r="23" spans="1:3" ht="15" thickBot="1" x14ac:dyDescent="0.35">
      <c r="A23" s="73" t="s">
        <v>26</v>
      </c>
      <c r="B23" s="74" t="s">
        <v>107</v>
      </c>
      <c r="C23" s="104" t="s">
        <v>108</v>
      </c>
    </row>
    <row r="24" spans="1:3" x14ac:dyDescent="0.3">
      <c r="A24" s="71" t="s">
        <v>63</v>
      </c>
      <c r="B24" s="75" t="str">
        <f>'B1-K2-W1'!B45</f>
        <v/>
      </c>
      <c r="C24" s="104"/>
    </row>
    <row r="25" spans="1:3" x14ac:dyDescent="0.3">
      <c r="A25" s="71" t="s">
        <v>65</v>
      </c>
      <c r="B25" s="75" t="str">
        <f>'B1-K2-W2'!B41</f>
        <v/>
      </c>
      <c r="C25" s="104"/>
    </row>
    <row r="26" spans="1:3" x14ac:dyDescent="0.3">
      <c r="A26" s="71" t="s">
        <v>67</v>
      </c>
      <c r="B26" s="75" t="str">
        <f>'B1-K2-W3'!B41</f>
        <v/>
      </c>
      <c r="C26" s="104"/>
    </row>
    <row r="27" spans="1:3" ht="15" thickBot="1" x14ac:dyDescent="0.35"/>
    <row r="28" spans="1:3" ht="15" thickBot="1" x14ac:dyDescent="0.35">
      <c r="A28" s="73" t="s">
        <v>109</v>
      </c>
      <c r="B28" s="73" t="s">
        <v>110</v>
      </c>
    </row>
    <row r="29" spans="1:3" x14ac:dyDescent="0.3">
      <c r="A29" s="76"/>
      <c r="B29" s="76"/>
      <c r="C29" s="77"/>
    </row>
    <row r="30" spans="1:3" x14ac:dyDescent="0.3">
      <c r="A30" s="78"/>
      <c r="B30" s="78"/>
    </row>
    <row r="31" spans="1:3" x14ac:dyDescent="0.3">
      <c r="A31" s="78"/>
      <c r="B31" s="78"/>
    </row>
    <row r="32" spans="1:3" x14ac:dyDescent="0.3">
      <c r="A32" s="78"/>
      <c r="B32" s="78"/>
    </row>
    <row r="33" spans="1:2" ht="15" thickBot="1" x14ac:dyDescent="0.35">
      <c r="A33" s="79"/>
      <c r="B33" s="79"/>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B1-K2-W1: Voert overleg</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38</v>
      </c>
      <c r="C15" s="82" t="str">
        <f>IF(Voorblad!B17="","",Voorblad!B17)</f>
        <v/>
      </c>
      <c r="D15" s="10"/>
      <c r="E15" s="10"/>
      <c r="F15" s="10"/>
      <c r="G15" s="14"/>
    </row>
    <row r="16" spans="1:7" ht="22.5" customHeight="1" x14ac:dyDescent="0.3">
      <c r="B16" s="57" t="s">
        <v>39</v>
      </c>
      <c r="C16" s="83" t="str">
        <f>IF(Voorblad!B18="","",Voorblad!B18)</f>
        <v/>
      </c>
      <c r="D16" s="10"/>
      <c r="E16" s="10"/>
      <c r="F16" s="10"/>
      <c r="G16" s="14"/>
    </row>
    <row r="17" spans="1:15" ht="22.5" customHeight="1" x14ac:dyDescent="0.3">
      <c r="B17" s="57" t="s">
        <v>40</v>
      </c>
      <c r="C17" s="80" t="str">
        <f>IF(Voorblad!B19="","",Voorblad!B19)</f>
        <v/>
      </c>
      <c r="D17" s="10"/>
      <c r="E17" s="10"/>
      <c r="F17" s="10"/>
      <c r="G17" s="14"/>
    </row>
    <row r="18" spans="1:15" ht="22.5" customHeight="1" x14ac:dyDescent="0.3">
      <c r="B18" s="57" t="s">
        <v>41</v>
      </c>
      <c r="C18" s="80" t="str">
        <f>IF(Voorblad!B20="","",Voorblad!B20)</f>
        <v/>
      </c>
      <c r="D18" s="10"/>
      <c r="E18" s="10"/>
      <c r="F18" s="10"/>
      <c r="G18" s="14"/>
    </row>
    <row r="19" spans="1:15" ht="22.5" customHeight="1" x14ac:dyDescent="0.3">
      <c r="B19" s="57" t="s">
        <v>42</v>
      </c>
      <c r="C19" s="80" t="str">
        <f>IF(Voorblad!B21="","",Voorblad!B21)</f>
        <v/>
      </c>
      <c r="D19" s="10"/>
      <c r="E19" s="10"/>
      <c r="F19" s="10"/>
      <c r="G19" s="14"/>
    </row>
    <row r="20" spans="1:15" ht="23.25" customHeight="1" x14ac:dyDescent="0.3"/>
    <row r="21" spans="1:15" ht="24" customHeight="1" x14ac:dyDescent="0.3">
      <c r="B21" s="106" t="s">
        <v>111</v>
      </c>
      <c r="C21" s="106"/>
      <c r="D21" s="106"/>
      <c r="E21" s="106"/>
      <c r="F21" s="106"/>
      <c r="G21" s="106"/>
    </row>
    <row r="22" spans="1:15" hidden="1" x14ac:dyDescent="0.3">
      <c r="A22" t="s">
        <v>112</v>
      </c>
      <c r="B22" s="58">
        <v>1</v>
      </c>
      <c r="D22" s="8" t="s">
        <v>113</v>
      </c>
      <c r="E22" s="59" t="s">
        <v>114</v>
      </c>
      <c r="G22" s="8" t="s">
        <v>115</v>
      </c>
      <c r="H22" s="58">
        <f>COUNTIF(Beheersingsniveaus!$C$4:$C$154,$E22)</f>
        <v>4</v>
      </c>
    </row>
    <row r="23" spans="1:15" x14ac:dyDescent="0.3">
      <c r="A23" t="s">
        <v>74</v>
      </c>
      <c r="B23" s="61" t="s">
        <v>116</v>
      </c>
      <c r="C23" s="61" t="s">
        <v>76</v>
      </c>
      <c r="D23" s="61">
        <v>0</v>
      </c>
      <c r="E23" s="61">
        <v>1</v>
      </c>
      <c r="F23" s="61">
        <v>2</v>
      </c>
      <c r="G23" s="61">
        <v>3</v>
      </c>
      <c r="H23" t="s">
        <v>81</v>
      </c>
      <c r="I23" t="s">
        <v>117</v>
      </c>
      <c r="J23" t="s">
        <v>118</v>
      </c>
      <c r="K23" t="s">
        <v>119</v>
      </c>
      <c r="L23" t="s">
        <v>120</v>
      </c>
      <c r="M23" t="s">
        <v>32</v>
      </c>
      <c r="N23" t="s">
        <v>30</v>
      </c>
      <c r="O23" t="s">
        <v>121</v>
      </c>
    </row>
    <row r="24" spans="1:15" ht="144.9" customHeight="1" x14ac:dyDescent="0.3">
      <c r="A24" s="62" t="s">
        <v>122</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c r="M24" s="58">
        <f>IF(L24=TRUE,3,IF(K24=TRUE,2,IF(J24=TRUE,1,IF(I24=TRUE,0,0))))</f>
        <v>0</v>
      </c>
      <c r="N24" s="58">
        <f>(4-COUNTBLANK(D24:G24))-1</f>
        <v>3</v>
      </c>
      <c r="O24" s="58">
        <f>COUNTA(I24:L24)</f>
        <v>0</v>
      </c>
    </row>
    <row r="25" spans="1:15" ht="144.9" customHeight="1" x14ac:dyDescent="0.3">
      <c r="A25" s="62" t="s">
        <v>123</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c r="M25" s="58">
        <f>IF(L25=TRUE,3,IF(K25=TRUE,2,IF(J25=TRUE,1,IF(I25=TRUE,0,0))))</f>
        <v>0</v>
      </c>
      <c r="N25" s="58">
        <f>(4-COUNTBLANK(D25:G25))-1</f>
        <v>3</v>
      </c>
      <c r="O25" s="58">
        <f>COUNTA(I25:L25)</f>
        <v>0</v>
      </c>
    </row>
    <row r="26" spans="1:15" ht="99.9" customHeight="1" x14ac:dyDescent="0.3">
      <c r="A26" s="62" t="s">
        <v>124</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0</v>
      </c>
      <c r="M26" s="58">
        <f>IF(L26=TRUE,3,IF(K26=TRUE,2,IF(J26=TRUE,1,IF(I26=TRUE,0,0))))</f>
        <v>0</v>
      </c>
      <c r="N26" s="58">
        <f>(4-COUNTBLANK(D26:G26))-1</f>
        <v>3</v>
      </c>
      <c r="O26" s="58">
        <f>COUNTA(I26:L26)</f>
        <v>1</v>
      </c>
    </row>
    <row r="27" spans="1:15" ht="84.9" customHeight="1" x14ac:dyDescent="0.3">
      <c r="A27" s="62" t="s">
        <v>125</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c r="M27" s="58">
        <f>IF(L27=TRUE,3,IF(K27=TRUE,2,IF(J27=TRUE,1,IF(I27=TRUE,0,0))))</f>
        <v>0</v>
      </c>
      <c r="N27" s="58">
        <f>(4-COUNTBLANK(D27:G27))-1</f>
        <v>3</v>
      </c>
      <c r="O27" s="58">
        <f>COUNTA(I27:L27)</f>
        <v>1</v>
      </c>
    </row>
    <row r="29" spans="1:15" ht="28.5" customHeight="1" x14ac:dyDescent="0.5">
      <c r="B29" s="107" t="s">
        <v>126</v>
      </c>
      <c r="C29" s="108"/>
      <c r="D29" s="108"/>
      <c r="E29" s="108"/>
      <c r="F29" s="108"/>
      <c r="G29" s="108"/>
    </row>
    <row r="30" spans="1:15" ht="26.1" customHeight="1" x14ac:dyDescent="0.3">
      <c r="B30" s="65" t="s">
        <v>127</v>
      </c>
    </row>
    <row r="31" spans="1:15" x14ac:dyDescent="0.3">
      <c r="B31" s="67" t="s">
        <v>128</v>
      </c>
      <c r="C31" s="67" t="s">
        <v>129</v>
      </c>
      <c r="D31" s="66" t="s">
        <v>130</v>
      </c>
    </row>
    <row r="32" spans="1:15" x14ac:dyDescent="0.3">
      <c r="B32" s="68">
        <v>0</v>
      </c>
      <c r="C32" s="69">
        <f t="shared" ref="C32:C44" si="0">ROUNDUP(IF(B32&lt;$B$8,4.5/$B$8*B32+1,4.5/($B$4-$B$8)*(B32-$B$8)+5.5),1)</f>
        <v>1</v>
      </c>
      <c r="D32" s="60" t="str">
        <f t="shared" ref="D32:D44" si="1">IF($B32=$B$5,"X","")</f>
        <v>X</v>
      </c>
    </row>
    <row r="33" spans="2:4" x14ac:dyDescent="0.3">
      <c r="B33" s="68">
        <v>1</v>
      </c>
      <c r="C33" s="69">
        <f t="shared" si="0"/>
        <v>1.8</v>
      </c>
      <c r="D33" s="60" t="str">
        <f t="shared" si="1"/>
        <v/>
      </c>
    </row>
    <row r="34" spans="2:4" x14ac:dyDescent="0.3">
      <c r="B34" s="68">
        <v>2</v>
      </c>
      <c r="C34" s="69">
        <f t="shared" si="0"/>
        <v>2.5</v>
      </c>
      <c r="D34" s="60" t="str">
        <f t="shared" si="1"/>
        <v/>
      </c>
    </row>
    <row r="35" spans="2:4" x14ac:dyDescent="0.3">
      <c r="B35" s="68">
        <v>3</v>
      </c>
      <c r="C35" s="69">
        <f t="shared" si="0"/>
        <v>3.3000000000000003</v>
      </c>
      <c r="D35" s="60" t="str">
        <f t="shared" si="1"/>
        <v/>
      </c>
    </row>
    <row r="36" spans="2:4" x14ac:dyDescent="0.3">
      <c r="B36" s="68">
        <v>4</v>
      </c>
      <c r="C36" s="69">
        <f t="shared" si="0"/>
        <v>4</v>
      </c>
      <c r="D36" s="60" t="str">
        <f t="shared" si="1"/>
        <v/>
      </c>
    </row>
    <row r="37" spans="2:4" x14ac:dyDescent="0.3">
      <c r="B37" s="68">
        <v>5</v>
      </c>
      <c r="C37" s="69">
        <f t="shared" si="0"/>
        <v>4.8</v>
      </c>
      <c r="D37" s="60" t="str">
        <f t="shared" si="1"/>
        <v/>
      </c>
    </row>
    <row r="38" spans="2:4" x14ac:dyDescent="0.3">
      <c r="B38" s="68">
        <v>6</v>
      </c>
      <c r="C38" s="69">
        <f t="shared" si="0"/>
        <v>5.5</v>
      </c>
      <c r="D38" s="60" t="str">
        <f t="shared" si="1"/>
        <v/>
      </c>
    </row>
    <row r="39" spans="2:4" x14ac:dyDescent="0.3">
      <c r="B39" s="68">
        <v>7</v>
      </c>
      <c r="C39" s="69">
        <f t="shared" si="0"/>
        <v>6.3</v>
      </c>
      <c r="D39" s="60" t="str">
        <f t="shared" si="1"/>
        <v/>
      </c>
    </row>
    <row r="40" spans="2:4" x14ac:dyDescent="0.3">
      <c r="B40" s="68">
        <v>8</v>
      </c>
      <c r="C40" s="69">
        <f t="shared" si="0"/>
        <v>7</v>
      </c>
      <c r="D40" s="60" t="str">
        <f t="shared" si="1"/>
        <v/>
      </c>
    </row>
    <row r="41" spans="2:4" x14ac:dyDescent="0.3">
      <c r="B41" s="68">
        <v>9</v>
      </c>
      <c r="C41" s="69">
        <f t="shared" si="0"/>
        <v>7.8</v>
      </c>
      <c r="D41" s="60" t="str">
        <f t="shared" si="1"/>
        <v/>
      </c>
    </row>
    <row r="42" spans="2:4" x14ac:dyDescent="0.3">
      <c r="B42" s="68">
        <v>10</v>
      </c>
      <c r="C42" s="69">
        <f t="shared" si="0"/>
        <v>8.5</v>
      </c>
      <c r="D42" s="60" t="str">
        <f t="shared" si="1"/>
        <v/>
      </c>
    </row>
    <row r="43" spans="2:4" x14ac:dyDescent="0.3">
      <c r="B43" s="68">
        <v>11</v>
      </c>
      <c r="C43" s="69">
        <f t="shared" si="0"/>
        <v>9.2999999999999989</v>
      </c>
      <c r="D43" s="60" t="str">
        <f t="shared" si="1"/>
        <v/>
      </c>
    </row>
    <row r="44" spans="2:4" x14ac:dyDescent="0.3">
      <c r="B44" s="68">
        <v>12</v>
      </c>
      <c r="C44" s="69">
        <f t="shared" si="0"/>
        <v>10</v>
      </c>
      <c r="D44" s="60" t="str">
        <f t="shared" si="1"/>
        <v/>
      </c>
    </row>
    <row r="45" spans="2:4" hidden="1" x14ac:dyDescent="0.3">
      <c r="B45" s="68" t="str">
        <f>IF(D32="X","",IF(D33="X",C33,IF(D34="X",C34,IF(D35="X",C35,IF(D36="X",C36,IF(D37="X",C37,IF(D38="X",C38,IF(D39="X",C39,IF(D40="X",C40,IF(D41="X",C41,IF(D42="X",C42,IF(D43="X",C43,IF(D44="X",C44,"")))))))))))))</f>
        <v/>
      </c>
      <c r="C45" s="69"/>
      <c r="D45" s="60"/>
    </row>
    <row r="47" spans="2:4" ht="26.1" customHeight="1" x14ac:dyDescent="0.3">
      <c r="B47" s="65" t="s">
        <v>131</v>
      </c>
    </row>
    <row r="48" spans="2:4" x14ac:dyDescent="0.3">
      <c r="B48" t="s">
        <v>132</v>
      </c>
    </row>
    <row r="49" spans="2:7" ht="35.1" customHeight="1" x14ac:dyDescent="0.3">
      <c r="B49" s="109" t="s">
        <v>7</v>
      </c>
      <c r="C49" s="109"/>
      <c r="D49" s="109"/>
      <c r="E49" s="109"/>
      <c r="F49" s="109"/>
      <c r="G49" s="109"/>
    </row>
    <row r="50" spans="2:7" ht="300" customHeight="1" x14ac:dyDescent="0.3">
      <c r="B50" s="105"/>
      <c r="C50" s="105"/>
      <c r="D50" s="105"/>
      <c r="E50" s="105"/>
      <c r="F50" s="105"/>
      <c r="G50" s="105"/>
    </row>
    <row r="52" spans="2:7" ht="26.1" customHeight="1" x14ac:dyDescent="0.3">
      <c r="B52" s="65" t="s">
        <v>133</v>
      </c>
    </row>
    <row r="53" spans="2:7" x14ac:dyDescent="0.3">
      <c r="B53" s="70" t="s">
        <v>134</v>
      </c>
    </row>
    <row r="54" spans="2:7" x14ac:dyDescent="0.3">
      <c r="B54" t="s">
        <v>135</v>
      </c>
    </row>
    <row r="57" spans="2:7" x14ac:dyDescent="0.3">
      <c r="B57" t="s">
        <v>136</v>
      </c>
    </row>
    <row r="58" spans="2:7" ht="50.1" customHeight="1" x14ac:dyDescent="0.3">
      <c r="B58" s="105"/>
      <c r="C58" s="105"/>
      <c r="D58" s="105"/>
      <c r="E58" s="105"/>
      <c r="F58" s="105"/>
      <c r="G58" s="105"/>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B1-K2-W2: Presenteert het opgeleverde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38</v>
      </c>
      <c r="C15" s="82" t="str">
        <f>IF(Voorblad!B17="","",Voorblad!B17)</f>
        <v/>
      </c>
      <c r="D15" s="10"/>
      <c r="E15" s="10"/>
      <c r="F15" s="10"/>
      <c r="G15" s="14"/>
    </row>
    <row r="16" spans="1:7" ht="22.5" customHeight="1" x14ac:dyDescent="0.3">
      <c r="B16" s="57" t="s">
        <v>39</v>
      </c>
      <c r="C16" s="83" t="str">
        <f>IF(Voorblad!B18="","",Voorblad!B18)</f>
        <v/>
      </c>
      <c r="D16" s="10"/>
      <c r="E16" s="10"/>
      <c r="F16" s="10"/>
      <c r="G16" s="14"/>
    </row>
    <row r="17" spans="1:15" ht="22.5" customHeight="1" x14ac:dyDescent="0.3">
      <c r="B17" s="57" t="s">
        <v>40</v>
      </c>
      <c r="C17" s="80" t="str">
        <f>IF(Voorblad!B19="","",Voorblad!B19)</f>
        <v/>
      </c>
      <c r="D17" s="10"/>
      <c r="E17" s="10"/>
      <c r="F17" s="10"/>
      <c r="G17" s="14"/>
    </row>
    <row r="18" spans="1:15" ht="22.5" customHeight="1" x14ac:dyDescent="0.3">
      <c r="B18" s="57" t="s">
        <v>41</v>
      </c>
      <c r="C18" s="80" t="str">
        <f>IF(Voorblad!B20="","",Voorblad!B20)</f>
        <v/>
      </c>
      <c r="D18" s="10"/>
      <c r="E18" s="10"/>
      <c r="F18" s="10"/>
      <c r="G18" s="14"/>
    </row>
    <row r="19" spans="1:15" ht="22.5" customHeight="1" x14ac:dyDescent="0.3">
      <c r="B19" s="57" t="s">
        <v>42</v>
      </c>
      <c r="C19" s="80" t="str">
        <f>IF(Voorblad!B21="","",Voorblad!B21)</f>
        <v/>
      </c>
      <c r="D19" s="10"/>
      <c r="E19" s="10"/>
      <c r="F19" s="10"/>
      <c r="G19" s="14"/>
    </row>
    <row r="20" spans="1:15" ht="23.25" customHeight="1" x14ac:dyDescent="0.3"/>
    <row r="21" spans="1:15" ht="24" customHeight="1" x14ac:dyDescent="0.3">
      <c r="B21" s="106" t="s">
        <v>137</v>
      </c>
      <c r="C21" s="106"/>
      <c r="D21" s="106"/>
      <c r="E21" s="106"/>
      <c r="F21" s="106"/>
      <c r="G21" s="106"/>
    </row>
    <row r="22" spans="1:15" hidden="1" x14ac:dyDescent="0.3">
      <c r="A22" t="s">
        <v>112</v>
      </c>
      <c r="B22" s="58">
        <v>2</v>
      </c>
      <c r="D22" s="8" t="s">
        <v>113</v>
      </c>
      <c r="E22" s="59" t="s">
        <v>138</v>
      </c>
      <c r="G22" s="8" t="s">
        <v>115</v>
      </c>
      <c r="H22" s="58">
        <f>COUNTIF(Beheersingsniveaus!$C$4:$C$154,$E22)</f>
        <v>3</v>
      </c>
    </row>
    <row r="23" spans="1:15" x14ac:dyDescent="0.3">
      <c r="A23" t="s">
        <v>74</v>
      </c>
      <c r="B23" s="61" t="s">
        <v>116</v>
      </c>
      <c r="C23" s="61" t="s">
        <v>76</v>
      </c>
      <c r="D23" s="61">
        <v>0</v>
      </c>
      <c r="E23" s="61">
        <v>1</v>
      </c>
      <c r="F23" s="61">
        <v>2</v>
      </c>
      <c r="G23" s="61">
        <v>3</v>
      </c>
      <c r="H23" t="s">
        <v>81</v>
      </c>
      <c r="I23" t="s">
        <v>117</v>
      </c>
      <c r="J23" t="s">
        <v>118</v>
      </c>
      <c r="K23" t="s">
        <v>119</v>
      </c>
      <c r="L23" t="s">
        <v>120</v>
      </c>
      <c r="M23" t="s">
        <v>32</v>
      </c>
      <c r="N23" t="s">
        <v>30</v>
      </c>
      <c r="O23" t="s">
        <v>121</v>
      </c>
    </row>
    <row r="24" spans="1:15" ht="144.9" customHeight="1" x14ac:dyDescent="0.3">
      <c r="A24" s="62" t="s">
        <v>139</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c r="M24" s="58">
        <f>IF(L24=TRUE,3,IF(K24=TRUE,2,IF(J24=TRUE,1,IF(I24=TRUE,0,0))))</f>
        <v>0</v>
      </c>
      <c r="N24" s="58">
        <f>(4-COUNTBLANK(D24:G24))-1</f>
        <v>3</v>
      </c>
      <c r="O24" s="58">
        <f>COUNTA(I24:L24)</f>
        <v>0</v>
      </c>
    </row>
    <row r="25" spans="1:15" ht="144.9" customHeight="1" x14ac:dyDescent="0.3">
      <c r="A25" s="62" t="s">
        <v>140</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c r="M25" s="58">
        <f>IF(L25=TRUE,3,IF(K25=TRUE,2,IF(J25=TRUE,1,IF(I25=TRUE,0,0))))</f>
        <v>0</v>
      </c>
      <c r="N25" s="58">
        <f>(4-COUNTBLANK(D25:G25))-1</f>
        <v>3</v>
      </c>
      <c r="O25" s="58">
        <f>COUNTA(I25:L25)</f>
        <v>0</v>
      </c>
    </row>
    <row r="26" spans="1:15" ht="84.9" customHeight="1" x14ac:dyDescent="0.3">
      <c r="A26" s="62" t="s">
        <v>141</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0</v>
      </c>
      <c r="M26" s="58">
        <f>IF(L26=TRUE,3,IF(K26=TRUE,2,IF(J26=TRUE,1,IF(I26=TRUE,0,0))))</f>
        <v>0</v>
      </c>
      <c r="N26" s="58">
        <f>(4-COUNTBLANK(D26:G26))-1</f>
        <v>3</v>
      </c>
      <c r="O26" s="58">
        <f>COUNTA(I26:L26)</f>
        <v>1</v>
      </c>
    </row>
    <row r="28" spans="1:15" ht="28.5" customHeight="1" x14ac:dyDescent="0.5">
      <c r="B28" s="107" t="s">
        <v>142</v>
      </c>
      <c r="C28" s="108"/>
      <c r="D28" s="108"/>
      <c r="E28" s="108"/>
      <c r="F28" s="108"/>
      <c r="G28" s="108"/>
    </row>
    <row r="29" spans="1:15" ht="26.1" customHeight="1" x14ac:dyDescent="0.3">
      <c r="B29" s="65" t="s">
        <v>127</v>
      </c>
    </row>
    <row r="30" spans="1:15" x14ac:dyDescent="0.3">
      <c r="B30" s="67" t="s">
        <v>128</v>
      </c>
      <c r="C30" s="67" t="s">
        <v>129</v>
      </c>
      <c r="D30" s="66" t="s">
        <v>130</v>
      </c>
    </row>
    <row r="31" spans="1:15" x14ac:dyDescent="0.3">
      <c r="B31" s="68">
        <v>0</v>
      </c>
      <c r="C31" s="69">
        <f t="shared" ref="C31:C40" si="0">ROUNDUP(IF(B31&lt;$B$8,4.5/$B$8*B31+1,4.5/($B$4-$B$8)*(B31-$B$8)+5.5),1)</f>
        <v>1</v>
      </c>
      <c r="D31" s="60" t="str">
        <f t="shared" ref="D31:D40" si="1">IF($B31=$B$5,"X","")</f>
        <v>X</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
      </c>
    </row>
    <row r="38" spans="2:7" x14ac:dyDescent="0.3">
      <c r="B38" s="68">
        <v>7</v>
      </c>
      <c r="C38" s="69">
        <f t="shared" si="0"/>
        <v>8</v>
      </c>
      <c r="D38" s="60" t="str">
        <f t="shared" si="1"/>
        <v/>
      </c>
    </row>
    <row r="39" spans="2:7" x14ac:dyDescent="0.3">
      <c r="B39" s="68">
        <v>8</v>
      </c>
      <c r="C39" s="69">
        <f t="shared" si="0"/>
        <v>9</v>
      </c>
      <c r="D39" s="60" t="str">
        <f t="shared" si="1"/>
        <v/>
      </c>
    </row>
    <row r="40" spans="2:7" x14ac:dyDescent="0.3">
      <c r="B40" s="68">
        <v>9</v>
      </c>
      <c r="C40" s="69">
        <f t="shared" si="0"/>
        <v>10</v>
      </c>
      <c r="D40" s="60" t="str">
        <f t="shared" si="1"/>
        <v/>
      </c>
    </row>
    <row r="41" spans="2:7" ht="15" hidden="1" customHeight="1" x14ac:dyDescent="0.3">
      <c r="B41" s="68" t="str">
        <f>IF(D31="X","",IF(D32="X",C32,IF(D33="X",C33,IF(D34="X",C34,IF(D35="X",C35,IF(D36="X",C36,IF(D37="X",C37,IF(D38="X",C38,IF(D39="X",C39,IF(D40="X",C40,""))))))))))</f>
        <v/>
      </c>
      <c r="C41" s="69"/>
      <c r="D41" s="60"/>
    </row>
    <row r="43" spans="2:7" ht="26.1" customHeight="1" x14ac:dyDescent="0.3">
      <c r="B43" s="65" t="s">
        <v>131</v>
      </c>
    </row>
    <row r="44" spans="2:7" x14ac:dyDescent="0.3">
      <c r="B44" t="s">
        <v>132</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133</v>
      </c>
    </row>
    <row r="49" spans="2:7" x14ac:dyDescent="0.3">
      <c r="B49" s="70" t="s">
        <v>134</v>
      </c>
    </row>
    <row r="50" spans="2:7" x14ac:dyDescent="0.3">
      <c r="B50" t="s">
        <v>135</v>
      </c>
    </row>
    <row r="53" spans="2:7" x14ac:dyDescent="0.3">
      <c r="B53" t="s">
        <v>136</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9" workbookViewId="0">
      <selection activeCell="C14" sqref="C14"/>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2" t="str">
        <f>CONCATENATE(kerntaakCode,": ",kerntaakNaam)</f>
        <v>B1-K2: Werkt in een ontwikkelteam</v>
      </c>
      <c r="C10" s="92"/>
      <c r="D10" s="92"/>
      <c r="E10" s="92"/>
      <c r="F10" s="92"/>
      <c r="G10" s="92"/>
    </row>
    <row r="11" spans="1:7" ht="28.5" customHeight="1" x14ac:dyDescent="0.5">
      <c r="B11" s="93" t="str">
        <f>CONCATENATE(VLOOKUP(B1,werkprocessen,1,FALSE),": ",C1)</f>
        <v>B1-K2-W3: Reflecteert op het werk</v>
      </c>
      <c r="C11" s="93"/>
      <c r="D11" s="93"/>
      <c r="E11" s="93"/>
      <c r="F11" s="93"/>
      <c r="G11" s="93"/>
    </row>
    <row r="13" spans="1:7" ht="24" customHeight="1" x14ac:dyDescent="0.3">
      <c r="B13" s="84" t="s">
        <v>36</v>
      </c>
      <c r="C13" s="85"/>
      <c r="D13" s="85"/>
      <c r="E13" s="85"/>
      <c r="F13" s="85"/>
      <c r="G13" s="86"/>
    </row>
    <row r="14" spans="1:7" ht="22.5" customHeight="1" x14ac:dyDescent="0.3">
      <c r="B14" s="57" t="s">
        <v>37</v>
      </c>
      <c r="C14" s="81" t="str">
        <f>IF(Voorblad!B16="","",Voorblad!B16)</f>
        <v/>
      </c>
      <c r="D14" s="9"/>
      <c r="E14" s="9"/>
      <c r="F14" s="9"/>
      <c r="G14" s="13"/>
    </row>
    <row r="15" spans="1:7" ht="22.5" customHeight="1" x14ac:dyDescent="0.3">
      <c r="B15" s="57" t="s">
        <v>38</v>
      </c>
      <c r="C15" s="82" t="str">
        <f>IF(Voorblad!B17="","",Voorblad!B17)</f>
        <v/>
      </c>
      <c r="D15" s="10"/>
      <c r="E15" s="10"/>
      <c r="F15" s="10"/>
      <c r="G15" s="14"/>
    </row>
    <row r="16" spans="1:7" ht="22.5" customHeight="1" x14ac:dyDescent="0.3">
      <c r="B16" s="57" t="s">
        <v>39</v>
      </c>
      <c r="C16" s="83" t="str">
        <f>IF(Voorblad!B18="","",Voorblad!B18)</f>
        <v/>
      </c>
      <c r="D16" s="10"/>
      <c r="E16" s="10"/>
      <c r="F16" s="10"/>
      <c r="G16" s="14"/>
    </row>
    <row r="17" spans="1:15" ht="22.5" customHeight="1" x14ac:dyDescent="0.3">
      <c r="B17" s="57" t="s">
        <v>40</v>
      </c>
      <c r="C17" s="80" t="str">
        <f>IF(Voorblad!B19="","",Voorblad!B19)</f>
        <v/>
      </c>
      <c r="D17" s="10"/>
      <c r="E17" s="10"/>
      <c r="F17" s="10"/>
      <c r="G17" s="14"/>
    </row>
    <row r="18" spans="1:15" ht="22.5" customHeight="1" x14ac:dyDescent="0.3">
      <c r="B18" s="57" t="s">
        <v>41</v>
      </c>
      <c r="C18" s="80" t="str">
        <f>IF(Voorblad!B20="","",Voorblad!B20)</f>
        <v/>
      </c>
      <c r="D18" s="10"/>
      <c r="E18" s="10"/>
      <c r="F18" s="10"/>
      <c r="G18" s="14"/>
    </row>
    <row r="19" spans="1:15" ht="22.5" customHeight="1" x14ac:dyDescent="0.3">
      <c r="B19" s="57" t="s">
        <v>42</v>
      </c>
      <c r="C19" s="80" t="str">
        <f>IF(Voorblad!B21="","",Voorblad!B21)</f>
        <v/>
      </c>
      <c r="D19" s="10"/>
      <c r="E19" s="10"/>
      <c r="F19" s="10"/>
      <c r="G19" s="14"/>
    </row>
    <row r="20" spans="1:15" ht="23.25" customHeight="1" x14ac:dyDescent="0.3"/>
    <row r="21" spans="1:15" ht="24" customHeight="1" x14ac:dyDescent="0.3">
      <c r="B21" s="106" t="s">
        <v>143</v>
      </c>
      <c r="C21" s="106"/>
      <c r="D21" s="106"/>
      <c r="E21" s="106"/>
      <c r="F21" s="106"/>
      <c r="G21" s="106"/>
    </row>
    <row r="22" spans="1:15" hidden="1" x14ac:dyDescent="0.3">
      <c r="A22" t="s">
        <v>112</v>
      </c>
      <c r="B22" s="58">
        <v>3</v>
      </c>
      <c r="D22" s="8" t="s">
        <v>113</v>
      </c>
      <c r="E22" s="59" t="s">
        <v>144</v>
      </c>
      <c r="G22" s="8" t="s">
        <v>115</v>
      </c>
      <c r="H22" s="58">
        <f>COUNTIF(Beheersingsniveaus!$C$4:$C$154,$E22)</f>
        <v>3</v>
      </c>
    </row>
    <row r="23" spans="1:15" x14ac:dyDescent="0.3">
      <c r="A23" t="s">
        <v>74</v>
      </c>
      <c r="B23" s="61" t="s">
        <v>116</v>
      </c>
      <c r="C23" s="61" t="s">
        <v>76</v>
      </c>
      <c r="D23" s="61">
        <v>0</v>
      </c>
      <c r="E23" s="61">
        <v>1</v>
      </c>
      <c r="F23" s="61">
        <v>2</v>
      </c>
      <c r="G23" s="61">
        <v>3</v>
      </c>
      <c r="H23" t="s">
        <v>81</v>
      </c>
      <c r="I23" t="s">
        <v>117</v>
      </c>
      <c r="J23" t="s">
        <v>118</v>
      </c>
      <c r="K23" t="s">
        <v>119</v>
      </c>
      <c r="L23" t="s">
        <v>120</v>
      </c>
      <c r="M23" t="s">
        <v>32</v>
      </c>
      <c r="N23" t="s">
        <v>30</v>
      </c>
      <c r="O23" t="s">
        <v>121</v>
      </c>
    </row>
    <row r="24" spans="1:15" ht="144.9" customHeight="1" x14ac:dyDescent="0.3">
      <c r="A24" s="62" t="s">
        <v>145</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c r="L24" s="58" t="b">
        <v>0</v>
      </c>
      <c r="M24" s="58">
        <f>IF(L24=TRUE,3,IF(K24=TRUE,2,IF(J24=TRUE,1,IF(I24=TRUE,0,0))))</f>
        <v>0</v>
      </c>
      <c r="N24" s="58">
        <f>(4-COUNTBLANK(D24:G24))-1</f>
        <v>3</v>
      </c>
      <c r="O24" s="58">
        <f>COUNTA(I24:L24)</f>
        <v>1</v>
      </c>
    </row>
    <row r="25" spans="1:15" ht="99.9" customHeight="1" x14ac:dyDescent="0.3">
      <c r="A25" s="62" t="s">
        <v>146</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c r="L25" s="58" t="b">
        <v>0</v>
      </c>
      <c r="M25" s="58">
        <f>IF(L25=TRUE,3,IF(K25=TRUE,2,IF(J25=TRUE,1,IF(I25=TRUE,0,0))))</f>
        <v>0</v>
      </c>
      <c r="N25" s="58">
        <f>(4-COUNTBLANK(D25:G25))-1</f>
        <v>3</v>
      </c>
      <c r="O25" s="58">
        <f>COUNTA(I25:L25)</f>
        <v>1</v>
      </c>
    </row>
    <row r="26" spans="1:15" ht="99.9" customHeight="1" x14ac:dyDescent="0.3">
      <c r="A26" s="62" t="s">
        <v>147</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0</v>
      </c>
      <c r="L26" s="58"/>
      <c r="M26" s="58">
        <f>IF(L26=TRUE,3,IF(K26=TRUE,2,IF(J26=TRUE,1,IF(I26=TRUE,0,0))))</f>
        <v>0</v>
      </c>
      <c r="N26" s="58">
        <f>(4-COUNTBLANK(D26:G26))-1</f>
        <v>3</v>
      </c>
      <c r="O26" s="58">
        <f>COUNTA(I26:L26)</f>
        <v>1</v>
      </c>
    </row>
    <row r="28" spans="1:15" ht="28.5" customHeight="1" x14ac:dyDescent="0.5">
      <c r="B28" s="107" t="s">
        <v>148</v>
      </c>
      <c r="C28" s="108"/>
      <c r="D28" s="108"/>
      <c r="E28" s="108"/>
      <c r="F28" s="108"/>
      <c r="G28" s="108"/>
    </row>
    <row r="29" spans="1:15" ht="26.1" customHeight="1" x14ac:dyDescent="0.3">
      <c r="B29" s="65" t="s">
        <v>127</v>
      </c>
    </row>
    <row r="30" spans="1:15" x14ac:dyDescent="0.3">
      <c r="B30" s="67" t="s">
        <v>128</v>
      </c>
      <c r="C30" s="67" t="s">
        <v>129</v>
      </c>
      <c r="D30" s="66" t="s">
        <v>130</v>
      </c>
    </row>
    <row r="31" spans="1:15" x14ac:dyDescent="0.3">
      <c r="B31" s="68">
        <v>0</v>
      </c>
      <c r="C31" s="69">
        <f t="shared" ref="C31:C40" si="0">ROUNDUP(IF(B31&lt;$B$8,4.5/$B$8*B31+1,4.5/($B$4-$B$8)*(B31-$B$8)+5.5),1)</f>
        <v>1</v>
      </c>
      <c r="D31" s="60" t="str">
        <f t="shared" ref="D31:D40" si="1">IF($B31=$B$5,"X","")</f>
        <v>X</v>
      </c>
    </row>
    <row r="32" spans="1:15" x14ac:dyDescent="0.3">
      <c r="B32" s="68">
        <v>1</v>
      </c>
      <c r="C32" s="69">
        <f t="shared" si="0"/>
        <v>2</v>
      </c>
      <c r="D32" s="60" t="str">
        <f t="shared" si="1"/>
        <v/>
      </c>
    </row>
    <row r="33" spans="2:7" x14ac:dyDescent="0.3">
      <c r="B33" s="68">
        <v>2</v>
      </c>
      <c r="C33" s="69">
        <f t="shared" si="0"/>
        <v>3</v>
      </c>
      <c r="D33" s="60" t="str">
        <f t="shared" si="1"/>
        <v/>
      </c>
    </row>
    <row r="34" spans="2:7" x14ac:dyDescent="0.3">
      <c r="B34" s="68">
        <v>3</v>
      </c>
      <c r="C34" s="69">
        <f t="shared" si="0"/>
        <v>4</v>
      </c>
      <c r="D34" s="60" t="str">
        <f t="shared" si="1"/>
        <v/>
      </c>
    </row>
    <row r="35" spans="2:7" x14ac:dyDescent="0.3">
      <c r="B35" s="68">
        <v>4</v>
      </c>
      <c r="C35" s="69">
        <f t="shared" si="0"/>
        <v>5</v>
      </c>
      <c r="D35" s="60" t="str">
        <f t="shared" si="1"/>
        <v/>
      </c>
    </row>
    <row r="36" spans="2:7" x14ac:dyDescent="0.3">
      <c r="B36" s="68">
        <v>5</v>
      </c>
      <c r="C36" s="69">
        <f t="shared" si="0"/>
        <v>6</v>
      </c>
      <c r="D36" s="60" t="str">
        <f t="shared" si="1"/>
        <v/>
      </c>
    </row>
    <row r="37" spans="2:7" x14ac:dyDescent="0.3">
      <c r="B37" s="68">
        <v>6</v>
      </c>
      <c r="C37" s="69">
        <f t="shared" si="0"/>
        <v>7</v>
      </c>
      <c r="D37" s="60" t="str">
        <f t="shared" si="1"/>
        <v/>
      </c>
    </row>
    <row r="38" spans="2:7" x14ac:dyDescent="0.3">
      <c r="B38" s="68">
        <v>7</v>
      </c>
      <c r="C38" s="69">
        <f t="shared" si="0"/>
        <v>8</v>
      </c>
      <c r="D38" s="60" t="str">
        <f t="shared" si="1"/>
        <v/>
      </c>
    </row>
    <row r="39" spans="2:7" x14ac:dyDescent="0.3">
      <c r="B39" s="68">
        <v>8</v>
      </c>
      <c r="C39" s="69">
        <f t="shared" si="0"/>
        <v>9</v>
      </c>
      <c r="D39" s="60" t="str">
        <f t="shared" si="1"/>
        <v/>
      </c>
    </row>
    <row r="40" spans="2:7" x14ac:dyDescent="0.3">
      <c r="B40" s="68">
        <v>9</v>
      </c>
      <c r="C40" s="69">
        <f t="shared" si="0"/>
        <v>10</v>
      </c>
      <c r="D40" s="60" t="str">
        <f t="shared" si="1"/>
        <v/>
      </c>
    </row>
    <row r="41" spans="2:7" hidden="1" x14ac:dyDescent="0.3">
      <c r="B41" s="68" t="str">
        <f>IF(D31="X","",IF(D32="X",C32,IF(D33="X",C33,IF(D34="X",C34,IF(D35="X",C35,IF(D36="X",C36,IF(D37="X",C37,IF(D38="X",C38,IF(D39="X",C39,IF(D40="X",C40,""))))))))))</f>
        <v/>
      </c>
      <c r="C41" s="69"/>
      <c r="D41" s="60"/>
    </row>
    <row r="43" spans="2:7" ht="26.1" customHeight="1" x14ac:dyDescent="0.3">
      <c r="B43" s="65" t="s">
        <v>131</v>
      </c>
    </row>
    <row r="44" spans="2:7" x14ac:dyDescent="0.3">
      <c r="B44" t="s">
        <v>132</v>
      </c>
    </row>
    <row r="45" spans="2:7" ht="35.1" customHeight="1" x14ac:dyDescent="0.3">
      <c r="B45" s="109" t="s">
        <v>7</v>
      </c>
      <c r="C45" s="109"/>
      <c r="D45" s="109"/>
      <c r="E45" s="109"/>
      <c r="F45" s="109"/>
      <c r="G45" s="109"/>
    </row>
    <row r="46" spans="2:7" ht="300" customHeight="1" x14ac:dyDescent="0.3">
      <c r="B46" s="105"/>
      <c r="C46" s="105"/>
      <c r="D46" s="105"/>
      <c r="E46" s="105"/>
      <c r="F46" s="105"/>
      <c r="G46" s="105"/>
    </row>
    <row r="48" spans="2:7" ht="26.1" customHeight="1" x14ac:dyDescent="0.3">
      <c r="B48" s="65" t="s">
        <v>133</v>
      </c>
    </row>
    <row r="49" spans="2:7" x14ac:dyDescent="0.3">
      <c r="B49" s="70" t="s">
        <v>134</v>
      </c>
    </row>
    <row r="50" spans="2:7" x14ac:dyDescent="0.3">
      <c r="B50" t="s">
        <v>135</v>
      </c>
    </row>
    <row r="53" spans="2:7" x14ac:dyDescent="0.3">
      <c r="B53" t="s">
        <v>136</v>
      </c>
    </row>
    <row r="54" spans="2:7" ht="50.1" customHeight="1" x14ac:dyDescent="0.3">
      <c r="B54" s="105"/>
      <c r="C54" s="105"/>
      <c r="D54" s="105"/>
      <c r="E54" s="105"/>
      <c r="F54" s="105"/>
      <c r="G54" s="105"/>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1cdf6f5-f056-495a-8e79-c5907b52ee15">
      <UserInfo>
        <DisplayName/>
        <AccountId xsi:nil="true"/>
        <AccountType/>
      </UserInfo>
    </SharedWithUsers>
    <lcf76f155ced4ddcb4097134ff3c332f xmlns="2d96f5cc-d7ea-40f6-93af-32a13c797d1b">
      <Terms xmlns="http://schemas.microsoft.com/office/infopath/2007/PartnerControls"/>
    </lcf76f155ced4ddcb4097134ff3c332f>
    <TaxCatchAll xmlns="91cdf6f5-f056-495a-8e79-c5907b52ee1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12EF286F59344C916594550B43FF54" ma:contentTypeVersion="16" ma:contentTypeDescription="Een nieuw document maken." ma:contentTypeScope="" ma:versionID="70fd5e856ee8332a06146ef0c959dfdb">
  <xsd:schema xmlns:xsd="http://www.w3.org/2001/XMLSchema" xmlns:xs="http://www.w3.org/2001/XMLSchema" xmlns:p="http://schemas.microsoft.com/office/2006/metadata/properties" xmlns:ns2="2d96f5cc-d7ea-40f6-93af-32a13c797d1b" xmlns:ns3="91cdf6f5-f056-495a-8e79-c5907b52ee15" targetNamespace="http://schemas.microsoft.com/office/2006/metadata/properties" ma:root="true" ma:fieldsID="113f018d4acbc2cf6f8b7c8228c170c5" ns2:_="" ns3:_="">
    <xsd:import namespace="2d96f5cc-d7ea-40f6-93af-32a13c797d1b"/>
    <xsd:import namespace="91cdf6f5-f056-495a-8e79-c5907b52ee1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6f5cc-d7ea-40f6-93af-32a13c797d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e9fe1b67-3931-4f35-a864-608d508774d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1cdf6f5-f056-495a-8e79-c5907b52ee15"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b19739f-a216-4dac-94bd-fedb53e6368f}" ma:internalName="TaxCatchAll" ma:showField="CatchAllData" ma:web="91cdf6f5-f056-495a-8e79-c5907b52ee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91cdf6f5-f056-495a-8e79-c5907b52ee15"/>
    <ds:schemaRef ds:uri="2d96f5cc-d7ea-40f6-93af-32a13c797d1b"/>
  </ds:schemaRefs>
</ds:datastoreItem>
</file>

<file path=customXml/itemProps2.xml><?xml version="1.0" encoding="utf-8"?>
<ds:datastoreItem xmlns:ds="http://schemas.openxmlformats.org/officeDocument/2006/customXml" ds:itemID="{BE0B139D-E2D1-49A8-A9F4-3F9461BD06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96f5cc-d7ea-40f6-93af-32a13c797d1b"/>
    <ds:schemaRef ds:uri="91cdf6f5-f056-495a-8e79-c5907b52ee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T Lutt</cp:lastModifiedBy>
  <cp:revision/>
  <dcterms:created xsi:type="dcterms:W3CDTF">2015-10-30T11:14:52Z</dcterms:created>
  <dcterms:modified xsi:type="dcterms:W3CDTF">2022-10-21T09:10:48Z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0x0101001C12EF286F59344C916594550B43FF54</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